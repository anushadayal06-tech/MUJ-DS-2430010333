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per Comparison" sheetId="1" state="visible" r:id="rId3"/>
    <sheet name="Metrics Side-by-Side" sheetId="2" state="visible" r:id="rId4"/>
    <sheet name="Improvement Plan" sheetId="3" state="visible" r:id="rId5"/>
    <sheet name="Our Model" sheetId="4" state="visible" r:id="rId6"/>
    <sheet name="Sources &amp; 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<sst xmlns="http://schemas.openxmlformats.org/spreadsheetml/2006/main" count="360" uniqueCount="288">
  <si>
    <t xml:space="preserve">Comparison of our deepfake detector with 6 prior works (deepfake detection + adversarial robustness)</t>
  </si>
  <si>
    <t xml:space="preserve">Only our work reports Precision/Recall/F1 per class; most papers report AUC or accuracy, and protocols differ - see 'Metrics Side-by-Side' and 'Sources &amp; Notes' before comparing numbers directly.</t>
  </si>
  <si>
    <t xml:space="preserve">#</t>
  </si>
  <si>
    <t xml:space="preserve">Paper</t>
  </si>
  <si>
    <t xml:space="preserve">Dataset(s) &amp; protocol</t>
  </si>
  <si>
    <t xml:space="preserve">Model / architecture</t>
  </si>
  <si>
    <t xml:space="preserve">Training technique</t>
  </si>
  <si>
    <t xml:space="preserve">Attack / defense</t>
  </si>
  <si>
    <t xml:space="preserve">Key reported results</t>
  </si>
  <si>
    <t xml:space="preserve">Where they are better than ours</t>
  </si>
  <si>
    <t xml:space="preserve">Their limitations</t>
  </si>
  <si>
    <t xml:space="preserve">What we take from it (to improve ours)</t>
  </si>
  <si>
    <t xml:space="preserve">Source</t>
  </si>
  <si>
    <t xml:space="preserve">Verification</t>
  </si>
  <si>
    <t xml:space="preserve">OURS</t>
  </si>
  <si>
    <t xml:space="preserve">OURS - ResNet18 deepfake detector + FGSM/PGD robustness sweep (this project)</t>
  </si>
  <si>
    <t xml:space="preserve">FaceForensics++ frame subset (own extraction). Split by source video (check pair-level leakage). Current test = 1,200 frames (600 real / 600 fake). Full 224x224 frames, no face crop. Frame-level.</t>
  </si>
  <si>
    <t xml:space="preserve">ResNet18 (ImageNet-pretrained), final FC replaced with 2 classes.</t>
  </si>
  <si>
    <t xml:space="preserve">Adam, lr 1e-4, batch 32, 10 epochs, no scheduler. Aug: flip + light colour jitter. Best checkpoint by val accuracy.</t>
  </si>
  <si>
    <t xml:space="preserve">Attack evaluation only: FGSM and PGD (7 steps, alpha 0.01), eps 0 to 0.1 in [0,1] pixel space. No defense.</t>
  </si>
  <si>
    <t xml:space="preserve">Current run: Acc 80.08%, Precision (macro) 80.73%, Recall (macro) 80.08%, F1 (macro) 80.0%, Specificity 72.83%, Fake recall 87.33%, AUC 84.9%. Earlier run (92.6% ckpt): PGD acc 4.18% at eps 0.005, 0.09% at eps 0.01, 0% from eps 0.02; FGSM 10.7% at eps 0.01 - re-run on current ckpt.</t>
  </si>
  <si>
    <t xml:space="preserve">-</t>
  </si>
  <si>
    <t xml:space="preserve">Plain CNN backbone; full-frame input (no face crop); likely undertrained (earlier run val acc still rising at epoch 10); single dataset, no cross-dataset test; no adversarial training; detector collapses at eps ~2.6/255. Biased to flagging real as fake (163 FP vs 76 FN).</t>
  </si>
  <si>
    <t xml:space="preserve">metrics.json, robustness_results.csv, train_log.csv</t>
  </si>
  <si>
    <t xml:space="preserve">Our own run files</t>
  </si>
  <si>
    <t xml:space="preserve">Rossler et al., 'FaceForensics++: Learning to Detect Manipulated Facial Images', ICCV 2019</t>
  </si>
  <si>
    <t xml:space="preserve">FF++: 1,000 real YouTube videos + 4 manipulations (DeepFakes, Face2Face, FaceSwap, NeuralTextures); raw / c23 (HQ) / c40 (LQ). Frame-level on face crops.</t>
  </si>
  <si>
    <t xml:space="preserve">XceptionNet (ImageNet-pretrained); MesoNet and others as baselines.</t>
  </si>
  <si>
    <t xml:space="preserve">Transfer learning on face crops from a face tracker; trained per manipulation / compression level.</t>
  </si>
  <si>
    <t xml:space="preserve">None (no adversarial evaluation).</t>
  </si>
  <si>
    <t xml:space="preserve">XceptionNet HQ accuracy: DF 97.49, F2F 97.69, FS 96.79, NT 92.19 (avg ~96.0%). MesoNet avg ~84.0%.</t>
  </si>
  <si>
    <t xml:space="preserve">Face-cropped input; stronger backbone (Xception); standard benchmark with per-manipulation and per-compression results.</t>
  </si>
  <si>
    <t xml:space="preserve">No robustness evaluation; per-manipulation training generalises poorly to unseen methods; 2019 baselines.</t>
  </si>
  <si>
    <t xml:space="preserve">Add face detection + alignment; report per-manipulation and c23/c40 results so our number is comparable to the benchmark.</t>
  </si>
  <si>
    <t xml:space="preserve">arXiv:1901.08971; github.com/ondyari/FaceForensics</t>
  </si>
  <si>
    <t xml:space="preserve">Numbers taken from Table 1 of Hussain et al. (secondary) - check against original</t>
  </si>
  <si>
    <t xml:space="preserve">Hussain, Neekhara et al., 'Adversarial Deepfakes: Evaluating Vulnerability of Deepfake Detectors to Adversarial Examples', WACV 2021</t>
  </si>
  <si>
    <t xml:space="preserve">FF++ HQ test set (70 videos x 4 methods, 29,764 frames) for Xception/MesoNet; DFDC validation (200 fake videos) for a 3D-CNN.</t>
  </si>
  <si>
    <t xml:space="preserve">Victims: XceptionNet, MesoNet, 3D-EfficientNet sequence model (DFDC 3rd place).</t>
  </si>
  <si>
    <t xml:space="preserve">Attack paper (no new detector trained).</t>
  </si>
  <si>
    <t xml:space="preserve">White-box: iterative sign method, eps 16/255, up to 100 iters, logit-margin loss. Robust white-box: Expectation over Transforms (blur, noise, shift, resize). Black-box: NES query attack.</t>
  </si>
  <si>
    <t xml:space="preserve">White-box success 99.85% (Xception) / 98.15% (MesoNet) on raw video. Robust white-box on compressed video: detector accuracy 1.77% (Xception), 0.50% (MesoNet). 3D-CNN: 91.74% clean -&gt; 0.00%. Robust black-box: detector accuracy 16.06% / 21.67%.</t>
  </si>
  <si>
    <t xml:space="preserve">Realistic threat model: perturbations survive JPEG/H.264 compression; black-box variant; video pipeline; tests a temporal model too.</t>
  </si>
  <si>
    <t xml:space="preserve">Attack only - proposes no defense (just recommends adversarial training); L-inf only; older detectors; fake-&gt;real direction only; expensive (up to 100 iters/frame, ~1k-2k queries/frame black-box).</t>
  </si>
  <si>
    <t xml:space="preserve">Add compression-robust (EOT) and black-box transfer tests to our attack suite. Our PGD already breaks the model, but only in the ideal uncompressed white-box case.</t>
  </si>
  <si>
    <t xml:space="preserve">arXiv:2002.12749; WACV 2021 pp. 3348-3357</t>
  </si>
  <si>
    <t xml:space="preserve">Verified from paper full text</t>
  </si>
  <si>
    <t xml:space="preserve">Khan, Chen, Liao, Chen, 'Adversarially Robust Deepfake Detection via Adversarial Feature Similarity Learning' (AFSL), LNCS 14556, 2024</t>
  </si>
  <si>
    <t xml:space="preserve">FF++ c23 (1,000 real / 4,000 fake), train on 3 manipulations, test on 4th; unseen: FaceShifter, DeeperForensics. Video-level AUC and frame-level accuracy.</t>
  </si>
  <si>
    <t xml:space="preserve">RealForensics (CSN, self-supervised pretrained), XceptionNet, MesoNet.</t>
  </si>
  <si>
    <t xml:space="preserve">PGD-5 adversarial training + 3-part loss: logit-adjusted BCE + adversarial cosine-similarity loss + real/fake dissimilarity regulariser (beta 1 and 0.1). Adam lr 3e-4 (video) / SGD lr 2e-3, bs 16 (frame), 150 epochs.</t>
  </si>
  <si>
    <t xml:space="preserve">Defense. Tested vs PGD10, CW2, StatAttack, universal attack, robust white-box, robust black-box.</t>
  </si>
  <si>
    <t xml:space="preserve">RealForensics: clean AUC 91.5 -&gt; 1.1 under PGD10 (8/255). With AFSL: 89.8 clean -&gt; 80.7 under PGD10. Frame-level Xception accuracy under PGD10: 7.3% (undefended) -&gt; 81.7% (AFSL); MesoNet 6.2% -&gt; 79.5%. Beats vanilla PGD-AT (76.0 / 74.3) and TRADES (80.8 / 78.2).</t>
  </si>
  <si>
    <t xml:space="preserve">Actually defends: keeps most clean performance while recovering ~80% under PGD10. Multiple attack types. Closest paper to our title.</t>
  </si>
  <si>
    <t xml:space="preserve">~1.7-pt clean AUC cost vs undefended RealForensics; heavy training (PGD-AT, 150 epochs); FaceShifter / DeeperForensics are built on FF++ real videos so domain shift is limited; baselines re-run (lower than their papers); no AutoAttack.</t>
  </si>
  <si>
    <t xml:space="preserve">Implement PGD-AT -&gt; TRADES -&gt; AFSL loss on our model and show the same before/after robustness curve. This is the main gap to close.</t>
  </si>
  <si>
    <t xml:space="preserve">arXiv:2403.08806</t>
  </si>
  <si>
    <t xml:space="preserve">Verified from paper full text (Tables 1-5)</t>
  </si>
  <si>
    <t xml:space="preserve">Shiohara &amp; Yamasaki, 'Detecting Deepfakes with Self-Blended Images' (SBI), CVPR 2022 (Oral)</t>
  </si>
  <si>
    <t xml:space="preserve">Train on FF++; test on CDF, DFD, DFDC, DFDCP, FFIW (cross-dataset) and cross-manipulation. Frame-level AUC.</t>
  </si>
  <si>
    <t xml:space="preserve">EfficientNet-B4 classifier.</t>
  </si>
  <si>
    <t xml:space="preserve">Trains only on real images + synthetic 'self-blended' fakes (blend slightly altered copies of one real face) with source/target augmentation. No real fakes needed.</t>
  </si>
  <si>
    <t xml:space="preserve">Cross-dataset AUC: Celeb-DF 93.18%. Average frame-level AUC 87.33% vs 82.75% for the comparison baseline (+4.58 pts). Beats prior frame-level SOTA on CDF/DFDC/DFDCP by 6.08 / 5.17 / 5.23 pts.</t>
  </si>
  <si>
    <t xml:space="preserve">Far better generalisation to unseen datasets and manipulations; data-centric training trick, not a bigger model.</t>
  </si>
  <si>
    <t xml:space="preserve">Assumes blending-boundary artifacts, so less suited to fully generated faces; needs landmark/face preprocessing; no robustness evaluation.</t>
  </si>
  <si>
    <t xml:space="preserve">Add SBI-style synthetic fakes as extra training data (public code) and test cross-dataset on Celeb-DF / DFD.</t>
  </si>
  <si>
    <t xml:space="preserve">arXiv:2204.08376; github.com/mapooon/SelfBlendedImages</t>
  </si>
  <si>
    <t xml:space="preserve">Paper text verified; Celeb-DF 93.18 from secondary leaderboard</t>
  </si>
  <si>
    <t xml:space="preserve">Yan et al., 'Orthogonal Subspace Decomposition for Generalizable AI-Generated Image Detection' (Effort), ICML 2025</t>
  </si>
  <si>
    <t xml:space="preserve">Train on FF++, test on 7 unseen deepfake datasets; also DF40 and synthetic-image benchmarks.</t>
  </si>
  <si>
    <t xml:space="preserve">CLIP vision transformer (vision foundation model).</t>
  </si>
  <si>
    <t xml:space="preserve">SVD splits CLIP weights into principal (frozen, semantic) and residual (trained, forgery) subspaces; only ~0.19M trainable parameters.</t>
  </si>
  <si>
    <t xml:space="preserve">None reported in the summaries accessed (focus is generalisation).</t>
  </si>
  <si>
    <t xml:space="preserve">Cross-dataset average AUC 0.917 (FF++ -&gt; 7 unseen datasets), outperforming 13 baselines; 0.940 AUC on DF40.</t>
  </si>
  <si>
    <t xml:space="preserve">State-of-the-art generalisation with tiny trainable-parameter budget; foundation-model features instead of a small CNN.</t>
  </si>
  <si>
    <t xml:space="preserve">Large ViT backbone -&gt; heavier inference than ResNet18; adversarial robustness not the paper's focus; depends on CLIP pretraining data.</t>
  </si>
  <si>
    <t xml:space="preserve">Replace ResNet18 with a CLIP/ViT backbone using parameter-efficient (SVD / LoRA) fine-tuning, then test its adversarial robustness - an open gap.</t>
  </si>
  <si>
    <t xml:space="preserve">arXiv:2411.15633; github.com/YZY-stack/Effort-AIGI-Detection</t>
  </si>
  <si>
    <t xml:space="preserve">Abstract verified; AUC figures from secondary summary - check paper tables</t>
  </si>
  <si>
    <t xml:space="preserve">Chandra et al., 'Deepfake-Eval-2024: A Multi-Modal In-the-Wild Benchmark of Deepfakes Circulated in 2024', 2025</t>
  </si>
  <si>
    <t xml:space="preserve">~45 h video, 56.5 h audio, 1,975 images collected in 2024 from social media and a detection platform (88 sites, 52 languages).</t>
  </si>
  <si>
    <t xml:space="preserve">Evaluates open-source SOTA detectors, commercial detectors, and fine-tuned models.</t>
  </si>
  <si>
    <t xml:space="preserve">Fine-tuning open-source models on the new in-the-wild data improves them.</t>
  </si>
  <si>
    <t xml:space="preserve">None (distribution-shift benchmark).</t>
  </si>
  <si>
    <t xml:space="preserve">Open-source detector AUC drops ~50% (video), 48% (audio), 45% (image) vs older benchmarks; commercial/fine-tuned models do better but still trail human forensic analysts.</t>
  </si>
  <si>
    <t xml:space="preserve">Tests on real-world, current deepfakes rather than FF++-style academic data.</t>
  </si>
  <si>
    <t xml:space="preserve">A benchmark, not a method; in-the-wild labels/data access constraints.</t>
  </si>
  <si>
    <t xml:space="preserve">Our 92.6% on FF++ will not carry over to the wild: add a cross-dataset test and state this as a threat to validity.</t>
  </si>
  <si>
    <t xml:space="preserve">arXiv:2503.02857</t>
  </si>
  <si>
    <t xml:space="preserve">Verified from abstract</t>
  </si>
  <si>
    <t xml:space="preserve">Numeric comparison (percent). Protocols differ - read the last column before comparing rows.</t>
  </si>
  <si>
    <t xml:space="preserve">Blue = typed from the paper. Green = linked from 'Our Model'. Black = formula. n/r = not reported. eps shown in /255 units.</t>
  </si>
  <si>
    <t xml:space="preserve">Model / paper</t>
  </si>
  <si>
    <t xml:space="preserve">Backbone</t>
  </si>
  <si>
    <t xml:space="preserve">Dataset &amp; protocol</t>
  </si>
  <si>
    <t xml:space="preserve">Headline metric</t>
  </si>
  <si>
    <t xml:space="preserve">Clean %</t>
  </si>
  <si>
    <t xml:space="preserve">Precision %</t>
  </si>
  <si>
    <t xml:space="preserve">Recall %</t>
  </si>
  <si>
    <t xml:space="preserve">F1 %</t>
  </si>
  <si>
    <t xml:space="preserve">Attack (eps)</t>
  </si>
  <si>
    <t xml:space="preserve">Under attack %</t>
  </si>
  <si>
    <t xml:space="preserve">Drop (pts)</t>
  </si>
  <si>
    <t xml:space="preserve">Comparability note</t>
  </si>
  <si>
    <t xml:space="preserve">OURS - clean / FGSM</t>
  </si>
  <si>
    <t xml:space="preserve">ResNet18</t>
  </si>
  <si>
    <t xml:space="preserve">FF++ frames, own video-level split, frame-level</t>
  </si>
  <si>
    <t xml:space="preserve">Accuracy</t>
  </si>
  <si>
    <t xml:space="preserve">FGSM, eps 0.03 (~7.7/255)</t>
  </si>
  <si>
    <t xml:space="preserve">Clean = current ckpt (80.1%); FGSM number and drop are from the earlier 92.6% ckpt. Re-run attacks.py. Small test set (1,200 frames). P/R/F1 macro.</t>
  </si>
  <si>
    <t xml:space="preserve">OURS - clean / PGD</t>
  </si>
  <si>
    <t xml:space="preserve">PGD-7, eps 0.03 (~7.7/255)</t>
  </si>
  <si>
    <t xml:space="preserve">Clean = current ckpt; PGD number/drop from earlier ckpt. Closest eps we ran to 8/255. PGD-7 without random start.</t>
  </si>
  <si>
    <t xml:space="preserve">FF++ paper - XceptionNet (HQ/c23)</t>
  </si>
  <si>
    <t xml:space="preserve">XceptionNet</t>
  </si>
  <si>
    <t xml:space="preserve">FF++ HQ test, 4 manipulations, face crops</t>
  </si>
  <si>
    <t xml:space="preserve">n/r</t>
  </si>
  <si>
    <t xml:space="preserve">none</t>
  </si>
  <si>
    <t xml:space="preserve">Average of the 4 per-manipulation accuracies (our calculation). Trained per manipulation, so easier than our mixed task.</t>
  </si>
  <si>
    <t xml:space="preserve">FF++ paper - MesoNet (HQ/c23)</t>
  </si>
  <si>
    <t xml:space="preserve">MesoNet</t>
  </si>
  <si>
    <t xml:space="preserve">Average of the 4 per-manipulation accuracies (our calculation).</t>
  </si>
  <si>
    <t xml:space="preserve">Hussain et al. - Xception under robust white-box</t>
  </si>
  <si>
    <t xml:space="preserve">FF++ HQ test, compressed (MJPEG) adversarial videos</t>
  </si>
  <si>
    <t xml:space="preserve">Robust white-box, eps&lt;=16/255 (mean L-inf 0.013 = ~3.3/255)</t>
  </si>
  <si>
    <t xml:space="preserve">Attack on compressed video; mean perturbation only ~3.3/255. Clean value is the FF++ average above.</t>
  </si>
  <si>
    <t xml:space="preserve">Hussain et al. - MesoNet under robust white-box</t>
  </si>
  <si>
    <t xml:space="preserve">Robust white-box, eps&lt;=16/255 (mean L-inf 0.025 = ~6.4/255)</t>
  </si>
  <si>
    <t xml:space="preserve">Clean value is the FF++ average above.</t>
  </si>
  <si>
    <t xml:space="preserve">AFSL paper - Xception, undefended</t>
  </si>
  <si>
    <t xml:space="preserve">FF++ c23, frame-level</t>
  </si>
  <si>
    <t xml:space="preserve">PGD10, 8/255</t>
  </si>
  <si>
    <t xml:space="preserve">Same kind of result as ours (accuracy, frame-level, PGD): undefended frame models collapse.</t>
  </si>
  <si>
    <t xml:space="preserve">AFSL paper - Xception + AFSL</t>
  </si>
  <si>
    <t xml:space="preserve">Defended model keeps ~82% under PGD10 - the target for our adversarial-training step.</t>
  </si>
  <si>
    <t xml:space="preserve">AFSL paper - RealForensics, undefended</t>
  </si>
  <si>
    <t xml:space="preserve">RealForensics (CSN)</t>
  </si>
  <si>
    <t xml:space="preserve">FF++ c23, train 3 / test 4th manipulation, video-level</t>
  </si>
  <si>
    <t xml:space="preserve">AUC</t>
  </si>
  <si>
    <t xml:space="preserve">Video-level AUC, cross-manipulation: not directly comparable to our frame accuracy.</t>
  </si>
  <si>
    <t xml:space="preserve">AFSL paper - RealForensics + AFSL</t>
  </si>
  <si>
    <t xml:space="preserve">Clean AUC cost of the defense is ~1.7 pts; robust AUC is 80.7.</t>
  </si>
  <si>
    <t xml:space="preserve">SBI (CVPR 2022)</t>
  </si>
  <si>
    <t xml:space="preserve">EfficientNet-B4</t>
  </si>
  <si>
    <t xml:space="preserve">Train FF++, test Celeb-DF, frame-level</t>
  </si>
  <si>
    <t xml:space="preserve">Cross-dataset AUC (not in-domain). Our model has no cross-dataset number yet.</t>
  </si>
  <si>
    <t xml:space="preserve">Effort (ICML 2025)</t>
  </si>
  <si>
    <t xml:space="preserve">CLIP ViT</t>
  </si>
  <si>
    <t xml:space="preserve">Train FF++, avg over 7 unseen datasets</t>
  </si>
  <si>
    <t xml:space="preserve">Average cross-dataset AUC (0.917). Generalisation metric, not in-domain accuracy.</t>
  </si>
  <si>
    <t xml:space="preserve">Read-out</t>
  </si>
  <si>
    <t xml:space="preserve">1) Current in-domain clean accuracy (ours 80.1%, AUC 0.849) is BELOW published FF++ frame-level numbers (~92-98%), though those use face crops and per-manipulation training. Earlier run reported 92.6% - find out which split/run is the real one.</t>
  </si>
  <si>
    <t xml:space="preserve">2) Under PGD every undefended model collapses to near 0-8% - ours included. Only adversarially trained models (AFSL, TRADES) hold ~75-82%.</t>
  </si>
  <si>
    <t xml:space="preserve">3) No cross-dataset number for our model; SBI / Effort show that is where modern methods differ most. Attack numbers must be re-run on the current checkpoint.</t>
  </si>
  <si>
    <t xml:space="preserve">How to make our model better (ordered by impact for the paper)</t>
  </si>
  <si>
    <t xml:space="preserve">Priority</t>
  </si>
  <si>
    <t xml:space="preserve">Gap in our model</t>
  </si>
  <si>
    <t xml:space="preserve">Fix (latest technique)</t>
  </si>
  <si>
    <t xml:space="preserve">Based on</t>
  </si>
  <si>
    <t xml:space="preserve">Expected effect</t>
  </si>
  <si>
    <t xml:space="preserve">Effort</t>
  </si>
  <si>
    <t xml:space="preserve">How we will show it</t>
  </si>
  <si>
    <t xml:space="preserve">No defense: PGD takes accuracy to ~0% at eps ~2.6/255.</t>
  </si>
  <si>
    <t xml:space="preserve">PGD adversarial training (Madry), then TRADES, then AFSL-style loss (cross-entropy + adversarial feature-similarity + real/fake regulariser).</t>
  </si>
  <si>
    <t xml:space="preserve">Khan et al. 2024 (AFSL); Madry et al. 2018; Zhang et al. 2019 (TRADES)</t>
  </si>
  <si>
    <t xml:space="preserve">Robust accuracy from ~0% to the ~75-82% range seen for defended Xception under PGD10.</t>
  </si>
  <si>
    <t xml:space="preserve">Medium</t>
  </si>
  <si>
    <t xml:space="preserve">Re-run attacks.py on the defended model; plot clean vs robust curve next to the current one.</t>
  </si>
  <si>
    <t xml:space="preserve">Weak backbone for a journal paper (plain ResNet18).</t>
  </si>
  <si>
    <t xml:space="preserve">ViT/CLIP backbone with parameter-efficient fine-tuning (SVD-orthogonal as in Effort, or LoRA); fallback: EfficientNet-B4 / ConvNeXt.</t>
  </si>
  <si>
    <t xml:space="preserve">Yan et al. 2025 (Effort); Shiohara 2022 (EfficientNet-B4)</t>
  </si>
  <si>
    <t xml:space="preserve">Better cross-dataset generalisation; new question: are foundation-model detectors more or less adversarially robust?</t>
  </si>
  <si>
    <t xml:space="preserve">High</t>
  </si>
  <si>
    <t xml:space="preserve">Same pipeline, swap model.py; compare ResNet18 vs EfficientNet vs CLIP.</t>
  </si>
  <si>
    <t xml:space="preserve">Evaluation is too easy: one dataset, no cross-dataset test.</t>
  </si>
  <si>
    <t xml:space="preserve">Cross-dataset tests (Celeb-DF v2, DFDC, DFD) and cross-manipulation; use only official/authorised dataset sources.</t>
  </si>
  <si>
    <t xml:space="preserve">Shiohara 2022; Chandra et al. 2025</t>
  </si>
  <si>
    <t xml:space="preserve">Honest generalisation numbers; avoids overclaiming in-domain accuracy.</t>
  </si>
  <si>
    <t xml:space="preserve">AUC table: train FF++, test on each unseen set.</t>
  </si>
  <si>
    <t xml:space="preserve">Full frames, no face crop.</t>
  </si>
  <si>
    <t xml:space="preserve">Face detection + alignment (e.g. RetinaFace / MTCNN) before resize; margin around face.</t>
  </si>
  <si>
    <t xml:space="preserve">Rossler et al. 2019; Hussain et al. 2021</t>
  </si>
  <si>
    <t xml:space="preserve">Removes background shortcuts; typically higher accuracy.</t>
  </si>
  <si>
    <t xml:space="preserve">Low</t>
  </si>
  <si>
    <t xml:space="preserve">Re-train with crops; compare to full-frame result.</t>
  </si>
  <si>
    <t xml:space="preserve">Training recipe is basic (10 epochs, constant lr, val acc still rising).</t>
  </si>
  <si>
    <t xml:space="preserve">AdamW + cosine decay with warm-up, label smoothing, mixed precision, EMA of weights, 20-30 epochs with early stopping.</t>
  </si>
  <si>
    <t xml:space="preserve">Standard modern recipe</t>
  </si>
  <si>
    <t xml:space="preserve">Higher clean accuracy at lower cost; fixes undertraining.</t>
  </si>
  <si>
    <t xml:space="preserve">Training curves with converged val loss.</t>
  </si>
  <si>
    <t xml:space="preserve">Training data has only the fake types in the dataset.</t>
  </si>
  <si>
    <t xml:space="preserve">Add self-blended-image (SBI) synthetic fakes plus JPEG / blur / resize augmentation.</t>
  </si>
  <si>
    <t xml:space="preserve">Shiohara &amp; Yamasaki 2022</t>
  </si>
  <si>
    <t xml:space="preserve">Better generalisation to unseen manipulations and compressed video.</t>
  </si>
  <si>
    <t xml:space="preserve">Ablation: with / without SBI on cross-dataset AUC.</t>
  </si>
  <si>
    <t xml:space="preserve">Attack suite is narrow (FGSM, 7-step PGD, no random start).</t>
  </si>
  <si>
    <t xml:space="preserve">PGD with random start and 20-50 steps, eps 2/255, 4/255, 8/255; AutoAttack (APGD-CE, APGD-T); margin (CW) loss; black-box transfer; EOT with JPEG/resize.</t>
  </si>
  <si>
    <t xml:space="preserve">Hussain et al. 2021; Khan et al. 2024</t>
  </si>
  <si>
    <t xml:space="preserve">Stronger, standard worst-case numbers; rules out gradient-masking claims.</t>
  </si>
  <si>
    <t xml:space="preserve">Robust accuracy at fixed eps (4/255, 8/255) for every model.</t>
  </si>
  <si>
    <t xml:space="preserve">FGSM accuracy rises again at large eps (10.7% -&gt; 46.7%).</t>
  </si>
  <si>
    <t xml:space="preserve">Report PGD as the main robustness number; explain FGSM overshoot; add a larger-step-count check.</t>
  </si>
  <si>
    <t xml:space="preserve">Our robustness_results.csv</t>
  </si>
  <si>
    <t xml:space="preserve">Prevents a reviewer reading the FGSM curve as 'the model gets more robust'.</t>
  </si>
  <si>
    <t xml:space="preserve">One sentence + plot with PGD emphasised.</t>
  </si>
  <si>
    <t xml:space="preserve">Frame-level only; point estimates only.</t>
  </si>
  <si>
    <t xml:space="preserve">Video-level aggregation (mean of frame probabilities), AUC / EER, 3 seeds with confidence intervals.</t>
  </si>
  <si>
    <t xml:space="preserve">Khan et al. 2024 (video-level AUC)</t>
  </si>
  <si>
    <t xml:space="preserve">Comparable to the literature's metrics; statistical weight.</t>
  </si>
  <si>
    <t xml:space="preserve">Mean +/- std over 3 seeds.</t>
  </si>
  <si>
    <t xml:space="preserve">Possible leakage between real videos and the fakes made from them (a leak-free split may explain 92.6% -&gt; 80.1% between runs).</t>
  </si>
  <si>
    <t xml:space="preserve">Split by source identity / video pair (a real video and all fakes derived from it go to the same split). Check how video_id is built from filenames.</t>
  </si>
  <si>
    <t xml:space="preserve">FF++ dataset structure</t>
  </si>
  <si>
    <t xml:space="preserve">Cleaner test set; avoids inflated accuracy.</t>
  </si>
  <si>
    <t xml:space="preserve">Dataset information file showing pair-level split.</t>
  </si>
  <si>
    <t xml:space="preserve">Our model: ResNet18 deepfake detector (FF++ frames) - current test results (confusion matrix + ROC images); attack/training tables are from the EARLIER run</t>
  </si>
  <si>
    <t xml:space="preserve">Blue = typed in from result images / old run files. Black = formula. Green = link to another sheet.</t>
  </si>
  <si>
    <t xml:space="preserve">Confusion matrix (test)</t>
  </si>
  <si>
    <t xml:space="preserve">Pred real</t>
  </si>
  <si>
    <t xml:space="preserve">Pred fake</t>
  </si>
  <si>
    <t xml:space="preserve">True real</t>
  </si>
  <si>
    <t xml:space="preserve">True fake</t>
  </si>
  <si>
    <t xml:space="preserve">Source: resnet18_confusion_matrix.png (current run, 1,200 test frames = 600 real / 600 fake). Rows = true class, columns = predicted class.</t>
  </si>
  <si>
    <t xml:space="preserve">Metric</t>
  </si>
  <si>
    <t xml:space="preserve">Computed (formula)</t>
  </si>
  <si>
    <t xml:space="preserve">Earlier run (old metrics.json)</t>
  </si>
  <si>
    <t xml:space="preserve">Change vs earlier run</t>
  </si>
  <si>
    <t xml:space="preserve">Test samples</t>
  </si>
  <si>
    <t xml:space="preserve">Precision - fake class</t>
  </si>
  <si>
    <t xml:space="preserve">Recall - fake class</t>
  </si>
  <si>
    <t xml:space="preserve">F1 - fake class</t>
  </si>
  <si>
    <t xml:space="preserve">Precision - real class</t>
  </si>
  <si>
    <t xml:space="preserve">Recall - real class (= specificity)</t>
  </si>
  <si>
    <t xml:space="preserve">F1 - real class</t>
  </si>
  <si>
    <t xml:space="preserve">Precision (macro)</t>
  </si>
  <si>
    <t xml:space="preserve">Recall (macro)</t>
  </si>
  <si>
    <t xml:space="preserve">F1 (macro)</t>
  </si>
  <si>
    <t xml:space="preserve">ROC AUC (current: read from ROC plot, 3 d.p.)</t>
  </si>
  <si>
    <t xml:space="preserve">Adversarial robustness - EARLIER-RUN checkpoint (clean acc 92.6%); NOT the current 80.1% model - re-run attacks before quoting</t>
  </si>
  <si>
    <t xml:space="preserve">Epsilon (0-1 scale)</t>
  </si>
  <si>
    <t xml:space="preserve">Epsilon in /255 units</t>
  </si>
  <si>
    <t xml:space="preserve">FGSM accuracy</t>
  </si>
  <si>
    <t xml:space="preserve">PGD accuracy</t>
  </si>
  <si>
    <t xml:space="preserve">FGSM drop (pts)</t>
  </si>
  <si>
    <t xml:space="preserve">PGD drop (pts)</t>
  </si>
  <si>
    <t xml:space="preserve">Source: robustness_results.csv. PGD = 7 steps, alpha 0.01, no random start. Literature usually reports eps = 8/255 (=0.031) or 16/255 (=0.063). STALE: eps-0 accuracy here (92.6%) does not match the current model (80.1%).</t>
  </si>
  <si>
    <t xml:space="preserve">Observation: FGSM accuracy RISES again for eps &gt; 0.01 (10.7% -&gt; 46.7%) while PGD stays at ~0%. Single-step FGSM overshoots at large eps; PGD is the reliable worst-case number.</t>
  </si>
  <si>
    <t xml:space="preserve">Training log (train_log.csv) - earlier run</t>
  </si>
  <si>
    <t xml:space="preserve">Epoch</t>
  </si>
  <si>
    <t xml:space="preserve">Train loss</t>
  </si>
  <si>
    <t xml:space="preserve">Val loss</t>
  </si>
  <si>
    <t xml:space="preserve">Train acc</t>
  </si>
  <si>
    <t xml:space="preserve">Val acc</t>
  </si>
  <si>
    <t xml:space="preserve">Train - val acc (pts)</t>
  </si>
  <si>
    <t xml:space="preserve">Val acc was still climbing at epoch 10 in this earlier run. Re-export train_log.csv for the current checkpoint.</t>
  </si>
  <si>
    <t xml:space="preserve">Sources, caveats and what to double-check before presenting</t>
  </si>
  <si>
    <t xml:space="preserve">Item</t>
  </si>
  <si>
    <t xml:space="preserve">Detail</t>
  </si>
  <si>
    <t xml:space="preserve">Our numbers</t>
  </si>
  <si>
    <t xml:space="preserve">Current-run metrics (confusion matrix, AUC) are read from resnet18_confusion_matrix.png and resnet18_roc_curve.png. Attack and training-log tables come from the earlier run files and are flagged stale.</t>
  </si>
  <si>
    <t xml:space="preserve">Comparability</t>
  </si>
  <si>
    <t xml:space="preserve">Papers differ in dataset, split, compression level, frame- vs video-level and metric (AUC vs accuracy). Treat the side-by-side as context, not a leaderboard. Say this to sir explicitly.</t>
  </si>
  <si>
    <t xml:space="preserve">Precision / recall</t>
  </si>
  <si>
    <t xml:space="preserve">Most deepfake papers report AUC or accuracy only; Precision/Recall/F1 exist only for our model in this comparison.</t>
  </si>
  <si>
    <t xml:space="preserve">Epsilon units</t>
  </si>
  <si>
    <t xml:space="preserve">Our eps is on a [0,1] pixel scale; papers use /255. 0.031 = 8/255, 0.063 = 16/255. Our eps 0.03 is the closest we ran to 8/255.</t>
  </si>
  <si>
    <t xml:space="preserve">README table check</t>
  </si>
  <si>
    <t xml:space="preserve">Old README table (Xception ~70.1%) was wrong/other protocol; the new README does not reuse it. Cite FF++ HQ per-manipulation numbers (92-98%) instead.</t>
  </si>
  <si>
    <t xml:space="preserve">Not fully verified</t>
  </si>
  <si>
    <t xml:space="preserve">Effort's 0.917 / 0.940 AUC and SBI's Celeb-DF 93.18 come from secondary summaries; FF++ accuracies come via Hussain et al. Table 1. Open the original tables to confirm before the presentation.</t>
  </si>
  <si>
    <t xml:space="preserve">Filename pattern</t>
  </si>
  <si>
    <t xml:space="preserve">prepare_data.py describes frames named like 01_02_outside_talking_still_laughing_YVGY8LOK_frame3.jpg; that naming looks like the DeepFakeDetection (DFD) part of FF++. Confirm exactly which FF++ subset and compression level we used and state it.</t>
  </si>
  <si>
    <t xml:space="preserve">Source: FF++</t>
  </si>
  <si>
    <t xml:space="preserve">https://github.com/ondyari/FaceForensics ; arXiv:1901.08971</t>
  </si>
  <si>
    <t xml:space="preserve">Source: Adversarial Deepfakes</t>
  </si>
  <si>
    <t xml:space="preserve">https://arxiv.org/abs/2002.12749 ; WACV 2021 pp. 3348-3357</t>
  </si>
  <si>
    <t xml:space="preserve">Source: AFSL</t>
  </si>
  <si>
    <t xml:space="preserve">https://arxiv.org/abs/2403.08806</t>
  </si>
  <si>
    <t xml:space="preserve">Source: SBI</t>
  </si>
  <si>
    <t xml:space="preserve">https://arxiv.org/abs/2204.08376 ; https://github.com/mapooon/SelfBlendedImages</t>
  </si>
  <si>
    <t xml:space="preserve">Source: Effort</t>
  </si>
  <si>
    <t xml:space="preserve">https://arxiv.org/abs/2411.15633 ; https://github.com/YZY-stack/Effort-AIGI-Detection</t>
  </si>
  <si>
    <t xml:space="preserve">Source: Deepfake-Eval-2024</t>
  </si>
  <si>
    <t xml:space="preserve">https://arxiv.org/abs/2503.02857</t>
  </si>
  <si>
    <t xml:space="preserve">Change log (this edit)</t>
  </si>
  <si>
    <t xml:space="preserve">Confusion matrix 465/49/32/555 (n=1,101, acc 92.6%, AUC 0.982) replaced by 437/163/76/524 (n=1,200, acc 80.1%, AUC 0.849) from the uploaded images; old values kept in column C of Our Model. Robustness/training tables marked stale; drop columns now use their own eps-0 baseline.</t>
  </si>
  <si>
    <t xml:space="preserve">OPEN: run mismatch</t>
  </si>
  <si>
    <t xml:space="preserve">Two runs disagree (92.6% vs 80.1%). Confirm which split/checkpoint resnet18.pth is, then re-run test + attacks and refresh metrics.json, robustness csv and train_log.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</si>
</sst>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"/>
    <numFmt numFmtId="167" formatCode="0"/>
    <numFmt numFmtId="168" formatCode="0.0000"/>
    <numFmt numFmtId="169" formatCode="0.00%"/>
    <numFmt numFmtId="170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36"/>
    <col collapsed="false" customWidth="true" hidden="false" outlineLevel="0" max="6" min="6" style="1" width="32"/>
    <col collapsed="false" customWidth="true" hidden="false" outlineLevel="0" max="7" min="7" style="1" width="44"/>
    <col collapsed="false" customWidth="true" hidden="false" outlineLevel="0" max="8" min="8" style="1" width="34"/>
    <col collapsed="false" customWidth="true" hidden="false" outlineLevel="0" max="10" min="9" style="1" width="36"/>
    <col collapsed="false" customWidth="true" hidden="false" outlineLevel="0" max="11" min="11" style="1" width="26"/>
    <col collapsed="false" customWidth="true" hidden="false" outlineLevel="0" max="12" min="12" style="1" width="2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30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customFormat="false" ht="78.75" hidden="false" customHeight="true" outlineLevel="0" collapsed="false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21</v>
      </c>
      <c r="K4" s="6" t="s">
        <v>23</v>
      </c>
      <c r="L4" s="6" t="s">
        <v>24</v>
      </c>
    </row>
    <row r="5" customFormat="false" ht="66" hidden="false" customHeight="true" outlineLevel="0" collapsed="false">
      <c r="A5" s="7" t="n">
        <v>1</v>
      </c>
      <c r="B5" s="8" t="s">
        <v>25</v>
      </c>
      <c r="C5" s="9" t="s">
        <v>26</v>
      </c>
      <c r="D5" s="9" t="s">
        <v>27</v>
      </c>
      <c r="E5" s="9" t="s">
        <v>28</v>
      </c>
      <c r="F5" s="9" t="s">
        <v>29</v>
      </c>
      <c r="G5" s="9" t="s">
        <v>30</v>
      </c>
      <c r="H5" s="9" t="s">
        <v>31</v>
      </c>
      <c r="I5" s="9" t="s">
        <v>32</v>
      </c>
      <c r="J5" s="9" t="s">
        <v>33</v>
      </c>
      <c r="K5" s="9" t="s">
        <v>34</v>
      </c>
      <c r="L5" s="9" t="s">
        <v>35</v>
      </c>
    </row>
    <row r="6" customFormat="false" ht="78.75" hidden="false" customHeight="true" outlineLevel="0" collapsed="false">
      <c r="A6" s="7" t="n">
        <v>2</v>
      </c>
      <c r="B6" s="8" t="s">
        <v>36</v>
      </c>
      <c r="C6" s="9" t="s">
        <v>37</v>
      </c>
      <c r="D6" s="9" t="s">
        <v>38</v>
      </c>
      <c r="E6" s="9" t="s">
        <v>39</v>
      </c>
      <c r="F6" s="9" t="s">
        <v>40</v>
      </c>
      <c r="G6" s="9" t="s">
        <v>41</v>
      </c>
      <c r="H6" s="9" t="s">
        <v>42</v>
      </c>
      <c r="I6" s="9" t="s">
        <v>43</v>
      </c>
      <c r="J6" s="9" t="s">
        <v>44</v>
      </c>
      <c r="K6" s="9" t="s">
        <v>45</v>
      </c>
      <c r="L6" s="9" t="s">
        <v>46</v>
      </c>
    </row>
    <row r="7" customFormat="false" ht="91.5" hidden="false" customHeight="true" outlineLevel="0" collapsed="false">
      <c r="A7" s="7" t="n">
        <v>3</v>
      </c>
      <c r="B7" s="8" t="s">
        <v>47</v>
      </c>
      <c r="C7" s="9" t="s">
        <v>48</v>
      </c>
      <c r="D7" s="9" t="s">
        <v>49</v>
      </c>
      <c r="E7" s="9" t="s">
        <v>50</v>
      </c>
      <c r="F7" s="9" t="s">
        <v>51</v>
      </c>
      <c r="G7" s="9" t="s">
        <v>52</v>
      </c>
      <c r="H7" s="9" t="s">
        <v>53</v>
      </c>
      <c r="I7" s="9" t="s">
        <v>54</v>
      </c>
      <c r="J7" s="9" t="s">
        <v>55</v>
      </c>
      <c r="K7" s="9" t="s">
        <v>56</v>
      </c>
      <c r="L7" s="9" t="s">
        <v>57</v>
      </c>
    </row>
    <row r="8" customFormat="false" ht="66" hidden="false" customHeight="true" outlineLevel="0" collapsed="false">
      <c r="A8" s="7" t="n">
        <v>4</v>
      </c>
      <c r="B8" s="8" t="s">
        <v>58</v>
      </c>
      <c r="C8" s="9" t="s">
        <v>59</v>
      </c>
      <c r="D8" s="9" t="s">
        <v>60</v>
      </c>
      <c r="E8" s="9" t="s">
        <v>61</v>
      </c>
      <c r="F8" s="9" t="s">
        <v>29</v>
      </c>
      <c r="G8" s="9" t="s">
        <v>62</v>
      </c>
      <c r="H8" s="9" t="s">
        <v>63</v>
      </c>
      <c r="I8" s="9" t="s">
        <v>64</v>
      </c>
      <c r="J8" s="9" t="s">
        <v>65</v>
      </c>
      <c r="K8" s="9" t="s">
        <v>66</v>
      </c>
      <c r="L8" s="9" t="s">
        <v>67</v>
      </c>
    </row>
    <row r="9" customFormat="false" ht="54" hidden="false" customHeight="true" outlineLevel="0" collapsed="false">
      <c r="A9" s="7" t="n">
        <v>5</v>
      </c>
      <c r="B9" s="8" t="s">
        <v>68</v>
      </c>
      <c r="C9" s="9" t="s">
        <v>69</v>
      </c>
      <c r="D9" s="9" t="s">
        <v>70</v>
      </c>
      <c r="E9" s="9" t="s">
        <v>71</v>
      </c>
      <c r="F9" s="9" t="s">
        <v>72</v>
      </c>
      <c r="G9" s="9" t="s">
        <v>73</v>
      </c>
      <c r="H9" s="9" t="s">
        <v>74</v>
      </c>
      <c r="I9" s="9" t="s">
        <v>75</v>
      </c>
      <c r="J9" s="9" t="s">
        <v>76</v>
      </c>
      <c r="K9" s="9" t="s">
        <v>77</v>
      </c>
      <c r="L9" s="9" t="s">
        <v>78</v>
      </c>
    </row>
    <row r="10" customFormat="false" ht="54" hidden="false" customHeight="true" outlineLevel="0" collapsed="false">
      <c r="A10" s="7" t="n">
        <v>6</v>
      </c>
      <c r="B10" s="8" t="s">
        <v>79</v>
      </c>
      <c r="C10" s="9" t="s">
        <v>80</v>
      </c>
      <c r="D10" s="9" t="s">
        <v>81</v>
      </c>
      <c r="E10" s="9" t="s">
        <v>82</v>
      </c>
      <c r="F10" s="9" t="s">
        <v>83</v>
      </c>
      <c r="G10" s="9" t="s">
        <v>84</v>
      </c>
      <c r="H10" s="9" t="s">
        <v>85</v>
      </c>
      <c r="I10" s="9" t="s">
        <v>86</v>
      </c>
      <c r="J10" s="9" t="s">
        <v>87</v>
      </c>
      <c r="K10" s="9" t="s">
        <v>88</v>
      </c>
      <c r="L10" s="9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34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8" min="8" style="1" width="9"/>
    <col collapsed="false" customWidth="true" hidden="false" outlineLevel="0" max="9" min="9" style="1" width="28"/>
    <col collapsed="false" customWidth="true" hidden="false" outlineLevel="0" max="10" min="10" style="1" width="13"/>
    <col collapsed="false" customWidth="true" hidden="false" outlineLevel="0" max="11" min="11" style="1" width="11"/>
    <col collapsed="false" customWidth="true" hidden="false" outlineLevel="0" max="12" min="12" style="1" width="52"/>
  </cols>
  <sheetData>
    <row r="1" customFormat="false" ht="17.25" hidden="false" customHeight="true" outlineLevel="0" collapsed="false">
      <c r="A1" s="2" t="s">
        <v>90</v>
      </c>
    </row>
    <row r="2" customFormat="false" ht="15" hidden="false" customHeight="true" outlineLevel="0" collapsed="false">
      <c r="A2" s="3" t="s">
        <v>91</v>
      </c>
    </row>
    <row r="4" customFormat="false" ht="30" hidden="false" customHeight="true" outlineLevel="0" collapsed="false">
      <c r="A4" s="4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4" t="s">
        <v>97</v>
      </c>
      <c r="G4" s="4" t="s">
        <v>98</v>
      </c>
      <c r="H4" s="4" t="s">
        <v>99</v>
      </c>
      <c r="I4" s="4" t="s">
        <v>100</v>
      </c>
      <c r="J4" s="4" t="s">
        <v>101</v>
      </c>
      <c r="K4" s="4" t="s">
        <v>102</v>
      </c>
      <c r="L4" s="4" t="s">
        <v>103</v>
      </c>
    </row>
    <row r="5" customFormat="false" ht="28.5" hidden="false" customHeight="true" outlineLevel="0" collapsed="false">
      <c r="A5" s="6" t="s">
        <v>104</v>
      </c>
      <c r="B5" s="10" t="s">
        <v>105</v>
      </c>
      <c r="C5" s="10" t="s">
        <v>106</v>
      </c>
      <c r="D5" s="11" t="s">
        <v>107</v>
      </c>
      <c r="E5" s="12" t="n">
        <f aca="false">'Our Model'!B11*100</f>
        <v>80.0833333333333</v>
      </c>
      <c r="F5" s="12" t="n">
        <f aca="false">'Our Model'!B18*100</f>
        <v>80.7294193757076</v>
      </c>
      <c r="G5" s="12" t="n">
        <f aca="false">'Our Model'!B19*100</f>
        <v>80.0833333333333</v>
      </c>
      <c r="H5" s="12" t="n">
        <f aca="false">'Our Model'!B20*100</f>
        <v>79.9780931856404</v>
      </c>
      <c r="I5" s="10" t="s">
        <v>108</v>
      </c>
      <c r="J5" s="12" t="n">
        <f aca="false">'Our Model'!C30*100</f>
        <v>22.5249772933697</v>
      </c>
      <c r="K5" s="13" t="n">
        <f aca="false">('Our Model'!C26-'Our Model'!C30)*100</f>
        <v>70.1180744777475</v>
      </c>
      <c r="L5" s="10" t="s">
        <v>109</v>
      </c>
    </row>
    <row r="6" customFormat="false" ht="28.5" hidden="false" customHeight="true" outlineLevel="0" collapsed="false">
      <c r="A6" s="6" t="s">
        <v>110</v>
      </c>
      <c r="B6" s="10" t="s">
        <v>105</v>
      </c>
      <c r="C6" s="10" t="s">
        <v>106</v>
      </c>
      <c r="D6" s="11" t="s">
        <v>107</v>
      </c>
      <c r="E6" s="12" t="n">
        <f aca="false">'Our Model'!B11*100</f>
        <v>80.0833333333333</v>
      </c>
      <c r="F6" s="12" t="n">
        <f aca="false">'Our Model'!B18*100</f>
        <v>80.7294193757076</v>
      </c>
      <c r="G6" s="12" t="n">
        <f aca="false">'Our Model'!B19*100</f>
        <v>80.0833333333333</v>
      </c>
      <c r="H6" s="12" t="n">
        <f aca="false">'Our Model'!B20*100</f>
        <v>79.9780931856404</v>
      </c>
      <c r="I6" s="10" t="s">
        <v>111</v>
      </c>
      <c r="J6" s="12" t="n">
        <f aca="false">'Our Model'!D30*100</f>
        <v>0</v>
      </c>
      <c r="K6" s="13" t="n">
        <f aca="false">('Our Model'!D26-'Our Model'!D30)*100</f>
        <v>92.6430517711172</v>
      </c>
      <c r="L6" s="10" t="s">
        <v>112</v>
      </c>
    </row>
    <row r="7" customFormat="false" ht="41.25" hidden="false" customHeight="true" outlineLevel="0" collapsed="false">
      <c r="A7" s="8" t="s">
        <v>113</v>
      </c>
      <c r="B7" s="9" t="s">
        <v>114</v>
      </c>
      <c r="C7" s="9" t="s">
        <v>115</v>
      </c>
      <c r="D7" s="7" t="s">
        <v>107</v>
      </c>
      <c r="E7" s="14" t="n">
        <f aca="false">AVERAGE(97.49,97.69,96.79,92.19)</f>
        <v>96.04</v>
      </c>
      <c r="F7" s="14" t="s">
        <v>116</v>
      </c>
      <c r="G7" s="14" t="s">
        <v>116</v>
      </c>
      <c r="H7" s="14" t="s">
        <v>116</v>
      </c>
      <c r="I7" s="9" t="s">
        <v>117</v>
      </c>
      <c r="J7" s="14" t="s">
        <v>116</v>
      </c>
      <c r="K7" s="15" t="str">
        <f aca="false">IF(AND(ISNUMBER(E7),ISNUMBER(J7)),E7-J7,"n/a")</f>
        <v>n/a</v>
      </c>
      <c r="L7" s="9" t="s">
        <v>118</v>
      </c>
    </row>
    <row r="8" customFormat="false" ht="28.5" hidden="false" customHeight="true" outlineLevel="0" collapsed="false">
      <c r="A8" s="8" t="s">
        <v>119</v>
      </c>
      <c r="B8" s="9" t="s">
        <v>120</v>
      </c>
      <c r="C8" s="9" t="s">
        <v>115</v>
      </c>
      <c r="D8" s="7" t="s">
        <v>107</v>
      </c>
      <c r="E8" s="14" t="n">
        <f aca="false">AVERAGE(89.55,88.6,81.24,76.62)</f>
        <v>84.0025</v>
      </c>
      <c r="F8" s="14" t="s">
        <v>116</v>
      </c>
      <c r="G8" s="14" t="s">
        <v>116</v>
      </c>
      <c r="H8" s="14" t="s">
        <v>116</v>
      </c>
      <c r="I8" s="9" t="s">
        <v>117</v>
      </c>
      <c r="J8" s="14" t="s">
        <v>116</v>
      </c>
      <c r="K8" s="15" t="str">
        <f aca="false">IF(AND(ISNUMBER(E8),ISNUMBER(J8)),E8-J8,"n/a")</f>
        <v>n/a</v>
      </c>
      <c r="L8" s="9" t="s">
        <v>121</v>
      </c>
    </row>
    <row r="9" customFormat="false" ht="41.25" hidden="false" customHeight="true" outlineLevel="0" collapsed="false">
      <c r="A9" s="8" t="s">
        <v>122</v>
      </c>
      <c r="B9" s="9" t="s">
        <v>114</v>
      </c>
      <c r="C9" s="9" t="s">
        <v>123</v>
      </c>
      <c r="D9" s="7" t="s">
        <v>107</v>
      </c>
      <c r="E9" s="14" t="n">
        <f aca="false">E7</f>
        <v>96.04</v>
      </c>
      <c r="F9" s="14" t="s">
        <v>116</v>
      </c>
      <c r="G9" s="14" t="s">
        <v>116</v>
      </c>
      <c r="H9" s="14" t="s">
        <v>116</v>
      </c>
      <c r="I9" s="9" t="s">
        <v>124</v>
      </c>
      <c r="J9" s="16" t="n">
        <v>1.77</v>
      </c>
      <c r="K9" s="15" t="n">
        <f aca="false">IF(AND(ISNUMBER(E9),ISNUMBER(J9)),E9-J9,"n/a")</f>
        <v>94.27</v>
      </c>
      <c r="L9" s="9" t="s">
        <v>125</v>
      </c>
    </row>
    <row r="10" customFormat="false" ht="41.25" hidden="false" customHeight="true" outlineLevel="0" collapsed="false">
      <c r="A10" s="8" t="s">
        <v>126</v>
      </c>
      <c r="B10" s="9" t="s">
        <v>120</v>
      </c>
      <c r="C10" s="9" t="s">
        <v>123</v>
      </c>
      <c r="D10" s="7" t="s">
        <v>107</v>
      </c>
      <c r="E10" s="14" t="n">
        <f aca="false">E8</f>
        <v>84.0025</v>
      </c>
      <c r="F10" s="14" t="s">
        <v>116</v>
      </c>
      <c r="G10" s="14" t="s">
        <v>116</v>
      </c>
      <c r="H10" s="14" t="s">
        <v>116</v>
      </c>
      <c r="I10" s="9" t="s">
        <v>127</v>
      </c>
      <c r="J10" s="16" t="n">
        <v>0.5</v>
      </c>
      <c r="K10" s="15" t="n">
        <f aca="false">IF(AND(ISNUMBER(E10),ISNUMBER(J10)),E10-J10,"n/a")</f>
        <v>83.5025</v>
      </c>
      <c r="L10" s="9" t="s">
        <v>128</v>
      </c>
    </row>
    <row r="11" customFormat="false" ht="28.5" hidden="false" customHeight="true" outlineLevel="0" collapsed="false">
      <c r="A11" s="8" t="s">
        <v>129</v>
      </c>
      <c r="B11" s="9" t="s">
        <v>114</v>
      </c>
      <c r="C11" s="9" t="s">
        <v>130</v>
      </c>
      <c r="D11" s="7" t="s">
        <v>107</v>
      </c>
      <c r="E11" s="14" t="s">
        <v>116</v>
      </c>
      <c r="F11" s="14" t="s">
        <v>116</v>
      </c>
      <c r="G11" s="14" t="s">
        <v>116</v>
      </c>
      <c r="H11" s="14" t="s">
        <v>116</v>
      </c>
      <c r="I11" s="9" t="s">
        <v>131</v>
      </c>
      <c r="J11" s="16" t="n">
        <v>7.3</v>
      </c>
      <c r="K11" s="15" t="str">
        <f aca="false">IF(AND(ISNUMBER(E11),ISNUMBER(J11)),E11-J11,"n/a")</f>
        <v>n/a</v>
      </c>
      <c r="L11" s="9" t="s">
        <v>132</v>
      </c>
    </row>
    <row r="12" customFormat="false" ht="28.5" hidden="false" customHeight="true" outlineLevel="0" collapsed="false">
      <c r="A12" s="8" t="s">
        <v>133</v>
      </c>
      <c r="B12" s="9" t="s">
        <v>114</v>
      </c>
      <c r="C12" s="9" t="s">
        <v>130</v>
      </c>
      <c r="D12" s="7" t="s">
        <v>107</v>
      </c>
      <c r="E12" s="14" t="s">
        <v>116</v>
      </c>
      <c r="F12" s="14" t="s">
        <v>116</v>
      </c>
      <c r="G12" s="14" t="s">
        <v>116</v>
      </c>
      <c r="H12" s="14" t="s">
        <v>116</v>
      </c>
      <c r="I12" s="9" t="s">
        <v>131</v>
      </c>
      <c r="J12" s="16" t="n">
        <v>81.7</v>
      </c>
      <c r="K12" s="15" t="str">
        <f aca="false">IF(AND(ISNUMBER(E12),ISNUMBER(J12)),E12-J12,"n/a")</f>
        <v>n/a</v>
      </c>
      <c r="L12" s="9" t="s">
        <v>134</v>
      </c>
    </row>
    <row r="13" customFormat="false" ht="28.5" hidden="false" customHeight="true" outlineLevel="0" collapsed="false">
      <c r="A13" s="8" t="s">
        <v>135</v>
      </c>
      <c r="B13" s="9" t="s">
        <v>136</v>
      </c>
      <c r="C13" s="9" t="s">
        <v>137</v>
      </c>
      <c r="D13" s="7" t="s">
        <v>138</v>
      </c>
      <c r="E13" s="16" t="n">
        <v>91.5</v>
      </c>
      <c r="F13" s="14" t="s">
        <v>116</v>
      </c>
      <c r="G13" s="14" t="s">
        <v>116</v>
      </c>
      <c r="H13" s="14" t="s">
        <v>116</v>
      </c>
      <c r="I13" s="9" t="s">
        <v>131</v>
      </c>
      <c r="J13" s="16" t="n">
        <v>1.1</v>
      </c>
      <c r="K13" s="15" t="n">
        <f aca="false">IF(AND(ISNUMBER(E13),ISNUMBER(J13)),E13-J13,"n/a")</f>
        <v>90.4</v>
      </c>
      <c r="L13" s="9" t="s">
        <v>139</v>
      </c>
    </row>
    <row r="14" customFormat="false" ht="28.5" hidden="false" customHeight="true" outlineLevel="0" collapsed="false">
      <c r="A14" s="8" t="s">
        <v>140</v>
      </c>
      <c r="B14" s="9" t="s">
        <v>136</v>
      </c>
      <c r="C14" s="9" t="s">
        <v>137</v>
      </c>
      <c r="D14" s="7" t="s">
        <v>138</v>
      </c>
      <c r="E14" s="16" t="n">
        <v>89.8</v>
      </c>
      <c r="F14" s="14" t="s">
        <v>116</v>
      </c>
      <c r="G14" s="14" t="s">
        <v>116</v>
      </c>
      <c r="H14" s="14" t="s">
        <v>116</v>
      </c>
      <c r="I14" s="9" t="s">
        <v>131</v>
      </c>
      <c r="J14" s="16" t="n">
        <v>80.7</v>
      </c>
      <c r="K14" s="15" t="n">
        <f aca="false">IF(AND(ISNUMBER(E14),ISNUMBER(J14)),E14-J14,"n/a")</f>
        <v>9.09999999999999</v>
      </c>
      <c r="L14" s="9" t="s">
        <v>141</v>
      </c>
    </row>
    <row r="15" customFormat="false" ht="28.5" hidden="false" customHeight="true" outlineLevel="0" collapsed="false">
      <c r="A15" s="8" t="s">
        <v>142</v>
      </c>
      <c r="B15" s="9" t="s">
        <v>143</v>
      </c>
      <c r="C15" s="9" t="s">
        <v>144</v>
      </c>
      <c r="D15" s="7" t="s">
        <v>138</v>
      </c>
      <c r="E15" s="16" t="n">
        <v>93.18</v>
      </c>
      <c r="F15" s="14" t="s">
        <v>116</v>
      </c>
      <c r="G15" s="14" t="s">
        <v>116</v>
      </c>
      <c r="H15" s="14" t="s">
        <v>116</v>
      </c>
      <c r="I15" s="9" t="s">
        <v>117</v>
      </c>
      <c r="J15" s="14" t="s">
        <v>116</v>
      </c>
      <c r="K15" s="15" t="str">
        <f aca="false">IF(AND(ISNUMBER(E15),ISNUMBER(J15)),E15-J15,"n/a")</f>
        <v>n/a</v>
      </c>
      <c r="L15" s="9" t="s">
        <v>145</v>
      </c>
    </row>
    <row r="16" customFormat="false" ht="28.5" hidden="false" customHeight="true" outlineLevel="0" collapsed="false">
      <c r="A16" s="8" t="s">
        <v>146</v>
      </c>
      <c r="B16" s="9" t="s">
        <v>147</v>
      </c>
      <c r="C16" s="9" t="s">
        <v>148</v>
      </c>
      <c r="D16" s="7" t="s">
        <v>138</v>
      </c>
      <c r="E16" s="16" t="n">
        <v>91.7</v>
      </c>
      <c r="F16" s="14" t="s">
        <v>116</v>
      </c>
      <c r="G16" s="14" t="s">
        <v>116</v>
      </c>
      <c r="H16" s="14" t="s">
        <v>116</v>
      </c>
      <c r="I16" s="9" t="s">
        <v>117</v>
      </c>
      <c r="J16" s="14" t="s">
        <v>116</v>
      </c>
      <c r="K16" s="15" t="str">
        <f aca="false">IF(AND(ISNUMBER(E16),ISNUMBER(J16)),E16-J16,"n/a")</f>
        <v>n/a</v>
      </c>
      <c r="L16" s="9" t="s">
        <v>149</v>
      </c>
    </row>
    <row r="18" customFormat="false" ht="15" hidden="false" customHeight="true" outlineLevel="0" collapsed="false">
      <c r="A18" s="17" t="s">
        <v>150</v>
      </c>
    </row>
    <row r="19" customFormat="false" ht="15" hidden="false" customHeight="true" outlineLevel="0" collapsed="false">
      <c r="A19" s="18" t="s">
        <v>151</v>
      </c>
    </row>
    <row r="20" customFormat="false" ht="15" hidden="false" customHeight="true" outlineLevel="0" collapsed="false">
      <c r="A20" s="18" t="s">
        <v>152</v>
      </c>
    </row>
    <row r="21" customFormat="false" ht="15" hidden="false" customHeight="true" outlineLevel="0" collapsed="false">
      <c r="A21" s="18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6"/>
    <col collapsed="false" customWidth="true" hidden="false" outlineLevel="0" max="3" min="3" style="1" width="52"/>
    <col collapsed="false" customWidth="true" hidden="false" outlineLevel="0" max="4" min="4" style="1" width="32"/>
    <col collapsed="false" customWidth="true" hidden="false" outlineLevel="0" max="5" min="5" style="1" width="38"/>
    <col collapsed="false" customWidth="true" hidden="false" outlineLevel="0" max="6" min="6" style="1" width="10"/>
    <col collapsed="false" customWidth="true" hidden="false" outlineLevel="0" max="7" min="7" style="1" width="38"/>
  </cols>
  <sheetData>
    <row r="1" customFormat="false" ht="17.25" hidden="false" customHeight="true" outlineLevel="0" collapsed="false">
      <c r="A1" s="2" t="s">
        <v>154</v>
      </c>
    </row>
    <row r="3" customFormat="false" ht="15" hidden="false" customHeight="true" outlineLevel="0" collapsed="false">
      <c r="A3" s="4" t="s">
        <v>155</v>
      </c>
      <c r="B3" s="4" t="s">
        <v>156</v>
      </c>
      <c r="C3" s="4" t="s">
        <v>157</v>
      </c>
      <c r="D3" s="4" t="s">
        <v>158</v>
      </c>
      <c r="E3" s="4" t="s">
        <v>159</v>
      </c>
      <c r="F3" s="4" t="s">
        <v>160</v>
      </c>
      <c r="G3" s="4" t="s">
        <v>161</v>
      </c>
    </row>
    <row r="4" customFormat="false" ht="41.25" hidden="false" customHeight="true" outlineLevel="0" collapsed="false">
      <c r="A4" s="7" t="n">
        <v>1</v>
      </c>
      <c r="B4" s="9" t="s">
        <v>162</v>
      </c>
      <c r="C4" s="9" t="s">
        <v>163</v>
      </c>
      <c r="D4" s="9" t="s">
        <v>164</v>
      </c>
      <c r="E4" s="9" t="s">
        <v>165</v>
      </c>
      <c r="F4" s="7" t="s">
        <v>166</v>
      </c>
      <c r="G4" s="9" t="s">
        <v>167</v>
      </c>
    </row>
    <row r="5" customFormat="false" ht="41.25" hidden="false" customHeight="true" outlineLevel="0" collapsed="false">
      <c r="A5" s="7" t="n">
        <v>2</v>
      </c>
      <c r="B5" s="9" t="s">
        <v>168</v>
      </c>
      <c r="C5" s="9" t="s">
        <v>169</v>
      </c>
      <c r="D5" s="9" t="s">
        <v>170</v>
      </c>
      <c r="E5" s="9" t="s">
        <v>171</v>
      </c>
      <c r="F5" s="7" t="s">
        <v>172</v>
      </c>
      <c r="G5" s="9" t="s">
        <v>173</v>
      </c>
    </row>
    <row r="6" customFormat="false" ht="41.25" hidden="false" customHeight="true" outlineLevel="0" collapsed="false">
      <c r="A6" s="7" t="n">
        <v>3</v>
      </c>
      <c r="B6" s="9" t="s">
        <v>174</v>
      </c>
      <c r="C6" s="9" t="s">
        <v>175</v>
      </c>
      <c r="D6" s="9" t="s">
        <v>176</v>
      </c>
      <c r="E6" s="9" t="s">
        <v>177</v>
      </c>
      <c r="F6" s="7" t="s">
        <v>166</v>
      </c>
      <c r="G6" s="9" t="s">
        <v>178</v>
      </c>
    </row>
    <row r="7" customFormat="false" ht="28.5" hidden="false" customHeight="true" outlineLevel="0" collapsed="false">
      <c r="A7" s="7" t="n">
        <v>4</v>
      </c>
      <c r="B7" s="9" t="s">
        <v>179</v>
      </c>
      <c r="C7" s="9" t="s">
        <v>180</v>
      </c>
      <c r="D7" s="9" t="s">
        <v>181</v>
      </c>
      <c r="E7" s="9" t="s">
        <v>182</v>
      </c>
      <c r="F7" s="7" t="s">
        <v>183</v>
      </c>
      <c r="G7" s="9" t="s">
        <v>184</v>
      </c>
    </row>
    <row r="8" customFormat="false" ht="41.25" hidden="false" customHeight="true" outlineLevel="0" collapsed="false">
      <c r="A8" s="7" t="n">
        <v>5</v>
      </c>
      <c r="B8" s="9" t="s">
        <v>185</v>
      </c>
      <c r="C8" s="9" t="s">
        <v>186</v>
      </c>
      <c r="D8" s="9" t="s">
        <v>187</v>
      </c>
      <c r="E8" s="9" t="s">
        <v>188</v>
      </c>
      <c r="F8" s="7" t="s">
        <v>183</v>
      </c>
      <c r="G8" s="9" t="s">
        <v>189</v>
      </c>
    </row>
    <row r="9" customFormat="false" ht="28.5" hidden="false" customHeight="true" outlineLevel="0" collapsed="false">
      <c r="A9" s="7" t="n">
        <v>6</v>
      </c>
      <c r="B9" s="9" t="s">
        <v>190</v>
      </c>
      <c r="C9" s="9" t="s">
        <v>191</v>
      </c>
      <c r="D9" s="9" t="s">
        <v>192</v>
      </c>
      <c r="E9" s="9" t="s">
        <v>193</v>
      </c>
      <c r="F9" s="7" t="s">
        <v>166</v>
      </c>
      <c r="G9" s="9" t="s">
        <v>194</v>
      </c>
    </row>
    <row r="10" customFormat="false" ht="41.25" hidden="false" customHeight="true" outlineLevel="0" collapsed="false">
      <c r="A10" s="7" t="n">
        <v>7</v>
      </c>
      <c r="B10" s="9" t="s">
        <v>195</v>
      </c>
      <c r="C10" s="9" t="s">
        <v>196</v>
      </c>
      <c r="D10" s="9" t="s">
        <v>197</v>
      </c>
      <c r="E10" s="9" t="s">
        <v>198</v>
      </c>
      <c r="F10" s="7" t="s">
        <v>166</v>
      </c>
      <c r="G10" s="9" t="s">
        <v>199</v>
      </c>
    </row>
    <row r="11" customFormat="false" ht="28.5" hidden="false" customHeight="true" outlineLevel="0" collapsed="false">
      <c r="A11" s="7" t="n">
        <v>8</v>
      </c>
      <c r="B11" s="9" t="s">
        <v>200</v>
      </c>
      <c r="C11" s="9" t="s">
        <v>201</v>
      </c>
      <c r="D11" s="9" t="s">
        <v>202</v>
      </c>
      <c r="E11" s="9" t="s">
        <v>203</v>
      </c>
      <c r="F11" s="7" t="s">
        <v>183</v>
      </c>
      <c r="G11" s="9" t="s">
        <v>204</v>
      </c>
    </row>
    <row r="12" customFormat="false" ht="28.5" hidden="false" customHeight="true" outlineLevel="0" collapsed="false">
      <c r="A12" s="7" t="n">
        <v>9</v>
      </c>
      <c r="B12" s="9" t="s">
        <v>205</v>
      </c>
      <c r="C12" s="9" t="s">
        <v>206</v>
      </c>
      <c r="D12" s="9" t="s">
        <v>207</v>
      </c>
      <c r="E12" s="9" t="s">
        <v>208</v>
      </c>
      <c r="F12" s="7" t="s">
        <v>183</v>
      </c>
      <c r="G12" s="9" t="s">
        <v>209</v>
      </c>
    </row>
    <row r="13" customFormat="false" ht="41.25" hidden="false" customHeight="true" outlineLevel="0" collapsed="false">
      <c r="A13" s="7" t="n">
        <v>10</v>
      </c>
      <c r="B13" s="9" t="s">
        <v>210</v>
      </c>
      <c r="C13" s="9" t="s">
        <v>211</v>
      </c>
      <c r="D13" s="9" t="s">
        <v>212</v>
      </c>
      <c r="E13" s="9" t="s">
        <v>213</v>
      </c>
      <c r="F13" s="7" t="s">
        <v>183</v>
      </c>
      <c r="G13" s="9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20"/>
    <col collapsed="false" customWidth="true" hidden="false" outlineLevel="0" max="5" min="4" style="1" width="16"/>
    <col collapsed="false" customWidth="true" hidden="false" outlineLevel="0" max="6" min="6" style="1" width="20"/>
  </cols>
  <sheetData>
    <row r="1" customFormat="false" ht="17.25" hidden="false" customHeight="true" outlineLevel="0" collapsed="false">
      <c r="A1" s="2" t="s">
        <v>215</v>
      </c>
    </row>
    <row r="2" customFormat="false" ht="15" hidden="false" customHeight="true" outlineLevel="0" collapsed="false">
      <c r="A2" s="3" t="s">
        <v>216</v>
      </c>
    </row>
    <row r="4" customFormat="false" ht="15" hidden="false" customHeight="true" outlineLevel="0" collapsed="false">
      <c r="A4" s="4" t="s">
        <v>217</v>
      </c>
      <c r="B4" s="4" t="s">
        <v>218</v>
      </c>
      <c r="C4" s="4" t="s">
        <v>219</v>
      </c>
    </row>
    <row r="5" customFormat="false" ht="15" hidden="false" customHeight="true" outlineLevel="0" collapsed="false">
      <c r="A5" s="8" t="s">
        <v>220</v>
      </c>
      <c r="B5" s="19" t="n">
        <v>437</v>
      </c>
      <c r="C5" s="19" t="n">
        <v>163</v>
      </c>
    </row>
    <row r="6" customFormat="false" ht="15" hidden="false" customHeight="true" outlineLevel="0" collapsed="false">
      <c r="A6" s="8" t="s">
        <v>221</v>
      </c>
      <c r="B6" s="19" t="n">
        <v>76</v>
      </c>
      <c r="C6" s="19" t="n">
        <v>524</v>
      </c>
    </row>
    <row r="7" customFormat="false" ht="15" hidden="false" customHeight="true" outlineLevel="0" collapsed="false">
      <c r="A7" s="3" t="s">
        <v>222</v>
      </c>
    </row>
    <row r="9" customFormat="false" ht="15" hidden="false" customHeight="true" outlineLevel="0" collapsed="false">
      <c r="A9" s="4" t="s">
        <v>223</v>
      </c>
      <c r="B9" s="4" t="s">
        <v>224</v>
      </c>
      <c r="C9" s="4" t="s">
        <v>225</v>
      </c>
      <c r="D9" s="4" t="s">
        <v>226</v>
      </c>
    </row>
    <row r="10" customFormat="false" ht="15" hidden="false" customHeight="true" outlineLevel="0" collapsed="false">
      <c r="A10" s="8" t="s">
        <v>227</v>
      </c>
      <c r="B10" s="9" t="n">
        <f aca="false">SUM(B5:C6)</f>
        <v>1200</v>
      </c>
      <c r="C10" s="20" t="n">
        <v>1101</v>
      </c>
      <c r="D10" s="21" t="n">
        <f aca="false">B10-C10</f>
        <v>99</v>
      </c>
    </row>
    <row r="11" customFormat="false" ht="15" hidden="false" customHeight="true" outlineLevel="0" collapsed="false">
      <c r="A11" s="8" t="s">
        <v>107</v>
      </c>
      <c r="B11" s="22" t="n">
        <f aca="false">(B5+C6)/SUM(B5:C6)</f>
        <v>0.800833333333333</v>
      </c>
      <c r="C11" s="23" t="n">
        <v>0.926430517711172</v>
      </c>
      <c r="D11" s="21" t="n">
        <f aca="false">B11-C11</f>
        <v>-0.125597184377839</v>
      </c>
    </row>
    <row r="12" customFormat="false" ht="15" hidden="false" customHeight="true" outlineLevel="0" collapsed="false">
      <c r="A12" s="8" t="s">
        <v>228</v>
      </c>
      <c r="B12" s="22" t="n">
        <f aca="false">C6/(C6+C5)</f>
        <v>0.7627365356623</v>
      </c>
      <c r="C12" s="9"/>
      <c r="D12" s="7"/>
    </row>
    <row r="13" customFormat="false" ht="15" hidden="false" customHeight="true" outlineLevel="0" collapsed="false">
      <c r="A13" s="8" t="s">
        <v>229</v>
      </c>
      <c r="B13" s="22" t="n">
        <f aca="false">C6/(C6+B6)</f>
        <v>0.873333333333333</v>
      </c>
      <c r="C13" s="9"/>
      <c r="D13" s="7"/>
    </row>
    <row r="14" customFormat="false" ht="15" hidden="false" customHeight="true" outlineLevel="0" collapsed="false">
      <c r="A14" s="8" t="s">
        <v>230</v>
      </c>
      <c r="B14" s="22" t="n">
        <f aca="false">2*B12*B13/(B12+B13)</f>
        <v>0.814296814296814</v>
      </c>
      <c r="C14" s="9"/>
      <c r="D14" s="7"/>
    </row>
    <row r="15" customFormat="false" ht="15" hidden="false" customHeight="true" outlineLevel="0" collapsed="false">
      <c r="A15" s="8" t="s">
        <v>231</v>
      </c>
      <c r="B15" s="22" t="n">
        <f aca="false">B5/(B5+B6)</f>
        <v>0.851851851851852</v>
      </c>
      <c r="C15" s="9"/>
      <c r="D15" s="7"/>
    </row>
    <row r="16" customFormat="false" ht="15" hidden="false" customHeight="true" outlineLevel="0" collapsed="false">
      <c r="A16" s="8" t="s">
        <v>232</v>
      </c>
      <c r="B16" s="22" t="n">
        <f aca="false">B5/(B5+C5)</f>
        <v>0.728333333333333</v>
      </c>
      <c r="C16" s="23" t="n">
        <v>0.904669260700389</v>
      </c>
      <c r="D16" s="21" t="n">
        <f aca="false">B16-C16</f>
        <v>-0.176335927367056</v>
      </c>
    </row>
    <row r="17" customFormat="false" ht="15" hidden="false" customHeight="true" outlineLevel="0" collapsed="false">
      <c r="A17" s="8" t="s">
        <v>233</v>
      </c>
      <c r="B17" s="22" t="n">
        <f aca="false">2*B15*B16/(B15+B16)</f>
        <v>0.785265049415993</v>
      </c>
      <c r="C17" s="9"/>
      <c r="D17" s="7"/>
    </row>
    <row r="18" customFormat="false" ht="15" hidden="false" customHeight="true" outlineLevel="0" collapsed="false">
      <c r="A18" s="8" t="s">
        <v>234</v>
      </c>
      <c r="B18" s="22" t="n">
        <f aca="false">AVERAGE(B12,B15)</f>
        <v>0.807294193757076</v>
      </c>
      <c r="C18" s="23" t="n">
        <v>0.927243927138993</v>
      </c>
      <c r="D18" s="21" t="n">
        <f aca="false">B18-C18</f>
        <v>-0.119949733381917</v>
      </c>
    </row>
    <row r="19" customFormat="false" ht="15" hidden="false" customHeight="true" outlineLevel="0" collapsed="false">
      <c r="A19" s="8" t="s">
        <v>235</v>
      </c>
      <c r="B19" s="22" t="n">
        <f aca="false">AVERAGE(B13,B16)</f>
        <v>0.800833333333333</v>
      </c>
      <c r="C19" s="23" t="n">
        <v>0.925077390145765</v>
      </c>
      <c r="D19" s="21" t="n">
        <f aca="false">B19-C19</f>
        <v>-0.124244056812432</v>
      </c>
    </row>
    <row r="20" customFormat="false" ht="15" hidden="false" customHeight="true" outlineLevel="0" collapsed="false">
      <c r="A20" s="8" t="s">
        <v>236</v>
      </c>
      <c r="B20" s="22" t="n">
        <f aca="false">AVERAGE(B14,B17)</f>
        <v>0.799780931856404</v>
      </c>
      <c r="C20" s="23" t="n">
        <v>0.925935615035616</v>
      </c>
      <c r="D20" s="21" t="n">
        <f aca="false">B20-C20</f>
        <v>-0.126154683179213</v>
      </c>
    </row>
    <row r="21" customFormat="false" ht="15" hidden="false" customHeight="true" outlineLevel="0" collapsed="false">
      <c r="A21" s="8" t="s">
        <v>237</v>
      </c>
      <c r="B21" s="23" t="n">
        <v>0.849</v>
      </c>
      <c r="C21" s="23" t="n">
        <v>0.981638483617152</v>
      </c>
      <c r="D21" s="21" t="n">
        <f aca="false">B21-C21</f>
        <v>-0.132638483617152</v>
      </c>
    </row>
    <row r="24" customFormat="false" ht="15" hidden="false" customHeight="true" outlineLevel="0" collapsed="false">
      <c r="A24" s="17" t="s">
        <v>238</v>
      </c>
    </row>
    <row r="25" customFormat="false" ht="15" hidden="false" customHeight="true" outlineLevel="0" collapsed="false">
      <c r="A25" s="4" t="s">
        <v>239</v>
      </c>
      <c r="B25" s="4" t="s">
        <v>240</v>
      </c>
      <c r="C25" s="4" t="s">
        <v>241</v>
      </c>
      <c r="D25" s="4" t="s">
        <v>242</v>
      </c>
      <c r="E25" s="4" t="s">
        <v>243</v>
      </c>
      <c r="F25" s="4" t="s">
        <v>244</v>
      </c>
    </row>
    <row r="26" customFormat="false" ht="15" hidden="false" customHeight="true" outlineLevel="0" collapsed="false">
      <c r="A26" s="24" t="n">
        <v>0</v>
      </c>
      <c r="B26" s="15" t="n">
        <f aca="false">A26*255</f>
        <v>0</v>
      </c>
      <c r="C26" s="25" t="n">
        <v>0.926430517711172</v>
      </c>
      <c r="D26" s="25" t="n">
        <v>0.926430517711172</v>
      </c>
      <c r="E26" s="15" t="n">
        <f aca="false">($C$26-C26)*100</f>
        <v>0</v>
      </c>
      <c r="F26" s="15" t="n">
        <f aca="false">($D$26-D26)*100</f>
        <v>0</v>
      </c>
    </row>
    <row r="27" customFormat="false" ht="15" hidden="false" customHeight="true" outlineLevel="0" collapsed="false">
      <c r="A27" s="24" t="n">
        <v>0.005</v>
      </c>
      <c r="B27" s="15" t="n">
        <f aca="false">A27*255</f>
        <v>1.275</v>
      </c>
      <c r="C27" s="25" t="n">
        <v>0.167120799273388</v>
      </c>
      <c r="D27" s="25" t="n">
        <v>0.041780199818347</v>
      </c>
      <c r="E27" s="15" t="n">
        <f aca="false">($C$26-C27)*100</f>
        <v>75.9309718437784</v>
      </c>
      <c r="F27" s="15" t="n">
        <f aca="false">($D$26-D27)*100</f>
        <v>88.4650317892825</v>
      </c>
    </row>
    <row r="28" customFormat="false" ht="15" hidden="false" customHeight="true" outlineLevel="0" collapsed="false">
      <c r="A28" s="24" t="n">
        <v>0.01</v>
      </c>
      <c r="B28" s="15" t="n">
        <f aca="false">A28*255</f>
        <v>2.55</v>
      </c>
      <c r="C28" s="25" t="n">
        <v>0.107175295186194</v>
      </c>
      <c r="D28" s="25" t="n">
        <v>0.000908265213442325</v>
      </c>
      <c r="E28" s="15" t="n">
        <f aca="false">($C$26-C28)*100</f>
        <v>81.9255222524978</v>
      </c>
      <c r="F28" s="15" t="n">
        <f aca="false">($D$26-D28)*100</f>
        <v>92.552225249773</v>
      </c>
    </row>
    <row r="29" customFormat="false" ht="15" hidden="false" customHeight="true" outlineLevel="0" collapsed="false">
      <c r="A29" s="24" t="n">
        <v>0.02</v>
      </c>
      <c r="B29" s="15" t="n">
        <f aca="false">A29*255</f>
        <v>5.1</v>
      </c>
      <c r="C29" s="25" t="n">
        <v>0.168937329700273</v>
      </c>
      <c r="D29" s="25" t="n">
        <v>0</v>
      </c>
      <c r="E29" s="15" t="n">
        <f aca="false">($C$26-C29)*100</f>
        <v>75.7493188010899</v>
      </c>
      <c r="F29" s="15" t="n">
        <f aca="false">($D$26-D29)*100</f>
        <v>92.6430517711172</v>
      </c>
    </row>
    <row r="30" customFormat="false" ht="15" hidden="false" customHeight="true" outlineLevel="0" collapsed="false">
      <c r="A30" s="24" t="n">
        <v>0.03</v>
      </c>
      <c r="B30" s="15" t="n">
        <f aca="false">A30*255</f>
        <v>7.65</v>
      </c>
      <c r="C30" s="25" t="n">
        <v>0.225249772933697</v>
      </c>
      <c r="D30" s="25" t="n">
        <v>0</v>
      </c>
      <c r="E30" s="15" t="n">
        <f aca="false">($C$26-C30)*100</f>
        <v>70.1180744777475</v>
      </c>
      <c r="F30" s="15" t="n">
        <f aca="false">($D$26-D30)*100</f>
        <v>92.6430517711172</v>
      </c>
    </row>
    <row r="31" customFormat="false" ht="15" hidden="false" customHeight="true" outlineLevel="0" collapsed="false">
      <c r="A31" s="24" t="n">
        <v>0.05</v>
      </c>
      <c r="B31" s="15" t="n">
        <f aca="false">A31*255</f>
        <v>12.75</v>
      </c>
      <c r="C31" s="25" t="n">
        <v>0.401453224341508</v>
      </c>
      <c r="D31" s="25" t="n">
        <v>0</v>
      </c>
      <c r="E31" s="15" t="n">
        <f aca="false">($C$26-C31)*100</f>
        <v>52.4977293369664</v>
      </c>
      <c r="F31" s="15" t="n">
        <f aca="false">($D$26-D31)*100</f>
        <v>92.6430517711172</v>
      </c>
    </row>
    <row r="32" customFormat="false" ht="15" hidden="false" customHeight="true" outlineLevel="0" collapsed="false">
      <c r="A32" s="24" t="n">
        <v>0.1</v>
      </c>
      <c r="B32" s="15" t="n">
        <f aca="false">A32*255</f>
        <v>25.5</v>
      </c>
      <c r="C32" s="25" t="n">
        <v>0.466848319709355</v>
      </c>
      <c r="D32" s="25" t="n">
        <v>0</v>
      </c>
      <c r="E32" s="15" t="n">
        <f aca="false">($C$26-C32)*100</f>
        <v>45.9582198001817</v>
      </c>
      <c r="F32" s="15" t="n">
        <f aca="false">($D$26-D32)*100</f>
        <v>92.6430517711172</v>
      </c>
    </row>
    <row r="33" customFormat="false" ht="15" hidden="false" customHeight="true" outlineLevel="0" collapsed="false">
      <c r="A33" s="3" t="s">
        <v>245</v>
      </c>
    </row>
    <row r="34" customFormat="false" ht="15" hidden="false" customHeight="true" outlineLevel="0" collapsed="false">
      <c r="A34" s="3" t="s">
        <v>246</v>
      </c>
    </row>
    <row r="36" customFormat="false" ht="15" hidden="false" customHeight="true" outlineLevel="0" collapsed="false">
      <c r="A36" s="17" t="s">
        <v>247</v>
      </c>
    </row>
    <row r="37" customFormat="false" ht="15" hidden="false" customHeight="true" outlineLevel="0" collapsed="false">
      <c r="A37" s="4" t="s">
        <v>248</v>
      </c>
      <c r="B37" s="4" t="s">
        <v>249</v>
      </c>
      <c r="C37" s="4" t="s">
        <v>250</v>
      </c>
      <c r="D37" s="4" t="s">
        <v>251</v>
      </c>
      <c r="E37" s="4" t="s">
        <v>252</v>
      </c>
      <c r="F37" s="4" t="s">
        <v>253</v>
      </c>
    </row>
    <row r="38" customFormat="false" ht="15" hidden="false" customHeight="true" outlineLevel="0" collapsed="false">
      <c r="A38" s="7" t="n">
        <v>1</v>
      </c>
      <c r="B38" s="26" t="n">
        <v>0.443846368104178</v>
      </c>
      <c r="C38" s="26" t="n">
        <v>0.430554179514008</v>
      </c>
      <c r="D38" s="25" t="n">
        <v>0.785413744740533</v>
      </c>
      <c r="E38" s="25" t="n">
        <v>0.806751054852321</v>
      </c>
      <c r="F38" s="15" t="n">
        <f aca="false">(D38-E38)*100</f>
        <v>-2.1337310111788</v>
      </c>
    </row>
    <row r="39" customFormat="false" ht="15" hidden="false" customHeight="true" outlineLevel="0" collapsed="false">
      <c r="A39" s="7" t="n">
        <v>2</v>
      </c>
      <c r="B39" s="26" t="n">
        <v>0.343158194155212</v>
      </c>
      <c r="C39" s="26" t="n">
        <v>0.462443105552644</v>
      </c>
      <c r="D39" s="25" t="n">
        <v>0.843443197755961</v>
      </c>
      <c r="E39" s="25" t="n">
        <v>0.80337552742616</v>
      </c>
      <c r="F39" s="15" t="n">
        <f aca="false">(D39-E39)*100</f>
        <v>4.0067670329801</v>
      </c>
    </row>
    <row r="40" customFormat="false" ht="15" hidden="false" customHeight="true" outlineLevel="0" collapsed="false">
      <c r="A40" s="7" t="n">
        <v>3</v>
      </c>
      <c r="B40" s="26" t="n">
        <v>0.283439531807395</v>
      </c>
      <c r="C40" s="26" t="n">
        <v>0.378519020374188</v>
      </c>
      <c r="D40" s="25" t="n">
        <v>0.875350631136045</v>
      </c>
      <c r="E40" s="25" t="n">
        <v>0.821097046413502</v>
      </c>
      <c r="F40" s="15" t="n">
        <f aca="false">(D40-E40)*100</f>
        <v>5.4253584722543</v>
      </c>
    </row>
    <row r="41" customFormat="false" ht="15" hidden="false" customHeight="true" outlineLevel="0" collapsed="false">
      <c r="A41" s="7" t="n">
        <v>4</v>
      </c>
      <c r="B41" s="26" t="n">
        <v>0.243115676339679</v>
      </c>
      <c r="C41" s="26" t="n">
        <v>0.333665909955302</v>
      </c>
      <c r="D41" s="25" t="n">
        <v>0.892005610098177</v>
      </c>
      <c r="E41" s="25" t="n">
        <v>0.832911392405063</v>
      </c>
      <c r="F41" s="15" t="n">
        <f aca="false">(D41-E41)*100</f>
        <v>5.90942176931141</v>
      </c>
    </row>
    <row r="42" customFormat="false" ht="15" hidden="false" customHeight="true" outlineLevel="0" collapsed="false">
      <c r="A42" s="7" t="n">
        <v>5</v>
      </c>
      <c r="B42" s="26" t="n">
        <v>0.212022904635813</v>
      </c>
      <c r="C42" s="26" t="n">
        <v>0.272760738237105</v>
      </c>
      <c r="D42" s="25" t="n">
        <v>0.905504908835905</v>
      </c>
      <c r="E42" s="25" t="n">
        <v>0.858227848101266</v>
      </c>
      <c r="F42" s="15" t="n">
        <f aca="false">(D42-E42)*100</f>
        <v>4.7277060734639</v>
      </c>
    </row>
    <row r="43" customFormat="false" ht="15" hidden="false" customHeight="true" outlineLevel="0" collapsed="false">
      <c r="A43" s="7" t="n">
        <v>6</v>
      </c>
      <c r="B43" s="26" t="n">
        <v>0.178401640826656</v>
      </c>
      <c r="C43" s="26" t="n">
        <v>0.260791878344468</v>
      </c>
      <c r="D43" s="25" t="n">
        <v>0.919880785413745</v>
      </c>
      <c r="E43" s="25" t="n">
        <v>0.863291139240506</v>
      </c>
      <c r="F43" s="15" t="n">
        <f aca="false">(D43-E43)*100</f>
        <v>5.65896461732389</v>
      </c>
    </row>
    <row r="44" customFormat="false" ht="15" hidden="false" customHeight="true" outlineLevel="0" collapsed="false">
      <c r="A44" s="7" t="n">
        <v>7</v>
      </c>
      <c r="B44" s="26" t="n">
        <v>0.153142303024611</v>
      </c>
      <c r="C44" s="26" t="n">
        <v>0.242394845491449</v>
      </c>
      <c r="D44" s="25" t="n">
        <v>0.926893408134642</v>
      </c>
      <c r="E44" s="25" t="n">
        <v>0.885232067510549</v>
      </c>
      <c r="F44" s="15" t="n">
        <f aca="false">(D44-E44)*100</f>
        <v>4.16613406240931</v>
      </c>
    </row>
    <row r="45" customFormat="false" ht="15" hidden="false" customHeight="true" outlineLevel="0" collapsed="false">
      <c r="A45" s="7" t="n">
        <v>8</v>
      </c>
      <c r="B45" s="26" t="n">
        <v>0.142112709911015</v>
      </c>
      <c r="C45" s="26" t="n">
        <v>0.233937740342039</v>
      </c>
      <c r="D45" s="25" t="n">
        <v>0.932678821879383</v>
      </c>
      <c r="E45" s="25" t="n">
        <v>0.887763713080169</v>
      </c>
      <c r="F45" s="15" t="n">
        <f aca="false">(D45-E45)*100</f>
        <v>4.4915108799214</v>
      </c>
    </row>
    <row r="46" customFormat="false" ht="15" hidden="false" customHeight="true" outlineLevel="0" collapsed="false">
      <c r="A46" s="7" t="n">
        <v>9</v>
      </c>
      <c r="B46" s="26" t="n">
        <v>0.121043069311646</v>
      </c>
      <c r="C46" s="26" t="n">
        <v>0.275922334660434</v>
      </c>
      <c r="D46" s="25" t="n">
        <v>0.945652173913044</v>
      </c>
      <c r="E46" s="25" t="n">
        <v>0.886919831223629</v>
      </c>
      <c r="F46" s="15" t="n">
        <f aca="false">(D46-E46)*100</f>
        <v>5.8732342689415</v>
      </c>
    </row>
    <row r="47" customFormat="false" ht="15" hidden="false" customHeight="true" outlineLevel="0" collapsed="false">
      <c r="A47" s="7" t="n">
        <v>10</v>
      </c>
      <c r="B47" s="26" t="n">
        <v>0.10518459601623</v>
      </c>
      <c r="C47" s="26" t="n">
        <v>0.157654134063507</v>
      </c>
      <c r="D47" s="25" t="n">
        <v>0.954593267882188</v>
      </c>
      <c r="E47" s="25" t="n">
        <v>0.930801687763713</v>
      </c>
      <c r="F47" s="15" t="n">
        <f aca="false">(D47-E47)*100</f>
        <v>2.3791580118475</v>
      </c>
    </row>
    <row r="48" customFormat="false" ht="15" hidden="false" customHeight="true" outlineLevel="0" collapsed="false">
      <c r="A48" s="3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0"/>
  </cols>
  <sheetData>
    <row r="1" customFormat="false" ht="17.25" hidden="false" customHeight="true" outlineLevel="0" collapsed="false">
      <c r="A1" s="2" t="s">
        <v>255</v>
      </c>
    </row>
    <row r="3" customFormat="false" ht="15" hidden="false" customHeight="true" outlineLevel="0" collapsed="false">
      <c r="A3" s="4" t="s">
        <v>256</v>
      </c>
      <c r="B3" s="4" t="s">
        <v>257</v>
      </c>
    </row>
    <row r="4" customFormat="false" ht="28.5" hidden="false" customHeight="true" outlineLevel="0" collapsed="false">
      <c r="A4" s="8" t="s">
        <v>258</v>
      </c>
      <c r="B4" s="9" t="s">
        <v>259</v>
      </c>
    </row>
    <row r="5" customFormat="false" ht="28.5" hidden="false" customHeight="true" outlineLevel="0" collapsed="false">
      <c r="A5" s="8" t="s">
        <v>260</v>
      </c>
      <c r="B5" s="9" t="s">
        <v>261</v>
      </c>
    </row>
    <row r="6" customFormat="false" ht="16.5" hidden="false" customHeight="true" outlineLevel="0" collapsed="false">
      <c r="A6" s="8" t="s">
        <v>262</v>
      </c>
      <c r="B6" s="9" t="s">
        <v>263</v>
      </c>
    </row>
    <row r="7" customFormat="false" ht="28.5" hidden="false" customHeight="true" outlineLevel="0" collapsed="false">
      <c r="A7" s="8" t="s">
        <v>264</v>
      </c>
      <c r="B7" s="9" t="s">
        <v>265</v>
      </c>
    </row>
    <row r="8" customFormat="false" ht="41.25" hidden="false" customHeight="true" outlineLevel="0" collapsed="false">
      <c r="A8" s="8" t="s">
        <v>266</v>
      </c>
      <c r="B8" s="9" t="s">
        <v>267</v>
      </c>
    </row>
    <row r="9" customFormat="false" ht="28.5" hidden="false" customHeight="true" outlineLevel="0" collapsed="false">
      <c r="A9" s="8" t="s">
        <v>268</v>
      </c>
      <c r="B9" s="9" t="s">
        <v>269</v>
      </c>
    </row>
    <row r="10" customFormat="false" ht="28.5" hidden="false" customHeight="true" outlineLevel="0" collapsed="false">
      <c r="A10" s="8" t="s">
        <v>270</v>
      </c>
      <c r="B10" s="9" t="s">
        <v>271</v>
      </c>
    </row>
    <row r="11" customFormat="false" ht="16.5" hidden="false" customHeight="true" outlineLevel="0" collapsed="false">
      <c r="A11" s="8" t="s">
        <v>272</v>
      </c>
      <c r="B11" s="9" t="s">
        <v>273</v>
      </c>
    </row>
    <row r="12" customFormat="false" ht="28.5" hidden="false" customHeight="true" outlineLevel="0" collapsed="false">
      <c r="A12" s="8" t="s">
        <v>274</v>
      </c>
      <c r="B12" s="9" t="s">
        <v>275</v>
      </c>
    </row>
    <row r="13" customFormat="false" ht="16.5" hidden="false" customHeight="true" outlineLevel="0" collapsed="false">
      <c r="A13" s="8" t="s">
        <v>276</v>
      </c>
      <c r="B13" s="9" t="s">
        <v>277</v>
      </c>
    </row>
    <row r="14" customFormat="false" ht="16.5" hidden="false" customHeight="true" outlineLevel="0" collapsed="false">
      <c r="A14" s="8" t="s">
        <v>278</v>
      </c>
      <c r="B14" s="9" t="s">
        <v>279</v>
      </c>
    </row>
    <row r="15" customFormat="false" ht="16.5" hidden="false" customHeight="true" outlineLevel="0" collapsed="false">
      <c r="A15" s="8" t="s">
        <v>280</v>
      </c>
      <c r="B15" s="9" t="s">
        <v>281</v>
      </c>
    </row>
    <row r="16" customFormat="false" ht="16.5" hidden="false" customHeight="true" outlineLevel="0" collapsed="false">
      <c r="A16" s="8" t="s">
        <v>282</v>
      </c>
      <c r="B16" s="9" t="s">
        <v>283</v>
      </c>
    </row>
    <row r="17" customFormat="false" ht="23.85" hidden="false" customHeight="false" outlineLevel="0" collapsed="false">
      <c r="A17" s="8" t="s">
        <v>284</v>
      </c>
      <c r="B17" s="9" t="s">
        <v>285</v>
      </c>
    </row>
    <row r="18" customFormat="false" ht="23.85" hidden="false" customHeight="false" outlineLevel="0" collapsed="false">
      <c r="A18" s="8" t="s">
        <v>286</v>
      </c>
      <c r="B18" s="9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2026-10-06T19:53:43Z</dcterms:created>
  <dc:creator>openpyxl</dc:creator>
  <dc:description/>
  <dc:language>en-US</dc:language>
  <cp:lastModifiedBy/>
  <dcterms:modified xsi:type="dcterms:W3CDTF">2026-10-14T23:00:22Z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